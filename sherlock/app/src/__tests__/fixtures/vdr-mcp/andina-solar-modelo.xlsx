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upuestos" sheetId="1" r:id="rId1"/>
    <sheet name="Estado de Resultados" sheetId="2" r:id="rId2"/>
    <sheet name="Deuda" sheetId="3" r:id="rId3"/>
    <sheet name="Resumen" sheetId="4" r:id="rId4"/>
  </sheets>
  <definedNames>
    <definedName name="CAPACIDAD_MW">Supuestos!$B$4</definedName>
    <definedName name="DSCR_min">Deuda!$B$8</definedName>
    <definedName name="EBITDA_FY24">'Estado de Resultados'!$D$6</definedName>
    <definedName name="TARIFA_PPA">Supuestos!$B$6</definedName>
  </definedNames>
  <calcPr calcId="0"/>
</workbook>
</file>

<file path=xl/sharedStrings.xml><?xml version="1.0" encoding="utf-8"?>
<sst xmlns="http://schemas.openxmlformats.org/spreadsheetml/2006/main" count="41" uniqueCount="34">
  <si>
    <t>Andina Solar, S. A. — Modelo financiero (sintético)</t>
  </si>
  <si>
    <t>Proceso</t>
  </si>
  <si>
    <t>Crédito senior</t>
  </si>
  <si>
    <t>Moneda</t>
  </si>
  <si>
    <t>USD</t>
  </si>
  <si>
    <t>Capacidad instalada (MW)</t>
  </si>
  <si>
    <t>Factor de planta</t>
  </si>
  <si>
    <t>Tarifa PPA (USD/MWh)</t>
  </si>
  <si>
    <t>Horas por año</t>
  </si>
  <si>
    <t>Generación anual (MWh)</t>
  </si>
  <si>
    <t>Estado de Resultados (USD miles)</t>
  </si>
  <si>
    <t>Concepto</t>
  </si>
  <si>
    <t>FY22</t>
  </si>
  <si>
    <t>FY23</t>
  </si>
  <si>
    <t>FY24</t>
  </si>
  <si>
    <t>FY25E</t>
  </si>
  <si>
    <t>Ingresos</t>
  </si>
  <si>
    <t>Costos de operación</t>
  </si>
  <si>
    <t>Gastos administrativos</t>
  </si>
  <si>
    <t>EBITDA</t>
  </si>
  <si>
    <t>Margen EBITDA</t>
  </si>
  <si>
    <t>Servicio de deuda (USD miles)</t>
  </si>
  <si>
    <t>Saldo inicial</t>
  </si>
  <si>
    <t>Amortización</t>
  </si>
  <si>
    <t>Intereses</t>
  </si>
  <si>
    <t>Servicio total</t>
  </si>
  <si>
    <t>DSCR</t>
  </si>
  <si>
    <t>DSCR mínimo</t>
  </si>
  <si>
    <t>Resumen ejecutivo</t>
  </si>
  <si>
    <t>Métrica</t>
  </si>
  <si>
    <t>Valor</t>
  </si>
  <si>
    <t>Ingresos FY24 (USD miles)</t>
  </si>
  <si>
    <t>EBITDA FY24 (USD miles)</t>
  </si>
  <si>
    <t>Deuda neta FY24 (USD miles)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</si>
</sst>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Malgun Gothic"/>
        <a:font script="Hans" typeface="DengXian Light"/>
        <a:font script="Hant" typeface="Microsoft JhengHei Light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Microsoft JhengHei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>
        <v>42.5</v>
      </c>
    </row>
    <row r="5">
      <c r="A5" t="s">
        <v>6</v>
      </c>
      <c r="B5">
        <v>0.238</v>
      </c>
    </row>
    <row r="6">
      <c r="A6" t="s">
        <v>7</v>
      </c>
      <c r="B6">
        <v>78.4</v>
      </c>
    </row>
    <row r="7">
      <c r="A7" t="s">
        <v>8</v>
      </c>
      <c r="B7">
        <v>8760</v>
      </c>
    </row>
    <row r="8">
      <c r="A8" t="s">
        <v>9</v>
      </c>
      <c r="B8">
        <f>C4*C7*C5</f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ColWidth="8.375" defaultRowHeight="15"/>
  <sheetData>
    <row r="1">
      <c r="A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</row>
    <row r="3">
      <c r="A3" t="s">
        <v>16</v>
      </c>
      <c r="B3">
        <v>5120</v>
      </c>
      <c r="C3">
        <v>5980</v>
      </c>
      <c r="D3">
        <v>6740</v>
      </c>
      <c r="E3">
        <v>7180</v>
      </c>
    </row>
    <row r="4">
      <c r="A4" t="s">
        <v>17</v>
      </c>
      <c r="B4">
        <v>-1210</v>
      </c>
      <c r="C4">
        <v>-1320</v>
      </c>
      <c r="D4">
        <v>-1405</v>
      </c>
      <c r="E4">
        <v>-1460</v>
      </c>
    </row>
    <row r="5">
      <c r="A5" t="s">
        <v>18</v>
      </c>
      <c r="B5">
        <v>-640</v>
      </c>
      <c r="C5">
        <v>-690</v>
      </c>
      <c r="D5">
        <v>-712</v>
      </c>
      <c r="E5">
        <v>-735</v>
      </c>
    </row>
    <row r="6">
      <c r="A6" t="s">
        <v>19</v>
      </c>
      <c r="B6">
        <f>B3+B4+B5</f>
        <v>3270</v>
      </c>
      <c r="C6">
        <f>C3+C4+C5</f>
        <v>3970</v>
      </c>
      <c r="D6">
        <f>D3+D4+D5</f>
        <v>4623</v>
      </c>
      <c r="E6">
        <f>E3+E4+E5</f>
        <v>4985</v>
      </c>
    </row>
    <row r="7">
      <c r="A7" t="s">
        <v>20</v>
      </c>
      <c r="B7">
        <f>B6/B3</f>
        <v>0.638671875</v>
      </c>
      <c r="C7">
        <f>C6/C3</f>
        <v>0.6638795986622074</v>
      </c>
      <c r="D7">
        <f>D6/D3</f>
        <v>0.6859050445103858</v>
      </c>
      <c r="E7">
        <f>E6/E3</f>
        <v>0.6942896935933147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ColWidth="8.375" defaultRowHeight="15"/>
  <sheetData>
    <row r="1">
      <c r="A1" t="s">
        <v>21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</row>
    <row r="3">
      <c r="A3" t="s">
        <v>22</v>
      </c>
      <c r="B3">
        <v>24000</v>
      </c>
      <c r="C3">
        <v>22200</v>
      </c>
      <c r="D3">
        <v>20400</v>
      </c>
      <c r="E3">
        <v>18600</v>
      </c>
    </row>
    <row r="4">
      <c r="A4" t="s">
        <v>23</v>
      </c>
      <c r="B4">
        <v>-1800</v>
      </c>
      <c r="C4">
        <v>-1800</v>
      </c>
      <c r="D4">
        <v>-1800</v>
      </c>
      <c r="E4">
        <v>-1800</v>
      </c>
    </row>
    <row r="5">
      <c r="A5" t="s">
        <v>24</v>
      </c>
      <c r="B5">
        <v>-1680</v>
      </c>
      <c r="C5">
        <v>-1554</v>
      </c>
      <c r="D5">
        <v>-1428</v>
      </c>
      <c r="E5">
        <v>-1302</v>
      </c>
    </row>
    <row r="6">
      <c r="A6" t="s">
        <v>25</v>
      </c>
      <c r="B6">
        <f>B4+B5</f>
        <v>-3480</v>
      </c>
      <c r="C6">
        <f>C4+C5</f>
        <v>-3354</v>
      </c>
      <c r="D6">
        <f>D4+D5</f>
        <v>-3228</v>
      </c>
      <c r="E6">
        <f>E4+E5</f>
        <v>-3102</v>
      </c>
    </row>
    <row r="7">
      <c r="A7" t="s">
        <v>26</v>
      </c>
      <c r="B7">
        <f>'Estado de Resultados'!B6/-B6</f>
        <v>0.9396551724137931</v>
      </c>
      <c r="C7">
        <f>'Estado de Resultados'!C6/-C6</f>
        <v>1.1836612999403697</v>
      </c>
      <c r="D7">
        <f>'Estado de Resultados'!D6/-D6</f>
        <v>1.4321561338289963</v>
      </c>
      <c r="E7">
        <f>'Estado de Resultados'!E6/-E6</f>
        <v>1.6070277240490007</v>
      </c>
    </row>
    <row r="8">
      <c r="A8" t="s">
        <v>27</v>
      </c>
      <c r="B8">
        <f>MIN(B7:E7)</f>
        <v>0.9396551724137931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ColWidth="8.375" defaultRowHeight="15"/>
  <sheetData>
    <row r="1">
      <c r="A1" t="s">
        <v>28</v>
      </c>
    </row>
    <row r="2">
      <c r="A2" t="s">
        <v>29</v>
      </c>
      <c r="B2" t="s">
        <v>30</v>
      </c>
    </row>
    <row r="3">
      <c r="A3" t="s">
        <v>5</v>
      </c>
      <c r="B3">
        <v>42.5</v>
      </c>
    </row>
    <row r="4">
      <c r="A4" t="s">
        <v>31</v>
      </c>
      <c r="B4">
        <v>6740</v>
      </c>
    </row>
    <row r="5">
      <c r="A5" t="s">
        <v>32</v>
      </c>
      <c r="B5">
        <f>'Estado de Resultados'!D6</f>
        <v>4623</v>
      </c>
    </row>
    <row r="6">
      <c r="A6" t="s">
        <v>33</v>
      </c>
      <c r="B6">
        <v>20400</v>
      </c>
    </row>
    <row r="7">
      <c r="A7" t="s">
        <v>7</v>
      </c>
      <c r="B7">
        <v>78.4</v>
      </c>
    </row>
  </sheetData>
</worksheet>
</file>