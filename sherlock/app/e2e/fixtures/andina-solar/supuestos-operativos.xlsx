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uestos" state="visible" r:id="rId4"/>
    <sheet sheetId="2" name="Generacion" state="visible" r:id="rId5"/>
    <sheet sheetId="3" name="Deuda" state="visible" r:id="rId6"/>
  </sheets>
  <definedNames>
    <definedName name="TARIFA_PPA">Supuestos!$B$7</definedName>
    <definedName name="INGRESOS_FY24">Supuestos!$B$10</definedName>
    <definedName name="EBITDA_FY24">Supuestos!$B$11</definedName>
    <definedName name="DEUDA_ACTUAL">Supuestos!$B$12</definedName>
    <definedName name="GENERACION_FY24">Supuestos!$B$13</definedName>
    <definedName name="PRESTAMO_PROPUESTO">Deuda!$B$15</definedName>
  </definedNames>
  <calcPr calcId="171027"/>
</workbook>
</file>

<file path=xl/sharedStrings.xml><?xml version="1.0" encoding="utf-8"?>
<sst xmlns="http://schemas.openxmlformats.org/spreadsheetml/2006/main" count="87" uniqueCount="80">
  <si>
    <t>Andina Solar, S. A. — Supuestos Operativos</t>
  </si>
  <si>
    <t>Documento sintético para fines de demostración. Cifras en dólares de los Estados Unidos de América (US$).</t>
  </si>
  <si>
    <t>Parámetro</t>
  </si>
  <si>
    <t>Valor</t>
  </si>
  <si>
    <t>Unidad</t>
  </si>
  <si>
    <t>Nota</t>
  </si>
  <si>
    <t>Capacidad instalada</t>
  </si>
  <si>
    <t>MW</t>
  </si>
  <si>
    <t>Planta solar fotovoltaica, capacidad nominal</t>
  </si>
  <si>
    <t>Factor de planta</t>
  </si>
  <si>
    <t>%</t>
  </si>
  <si>
    <t>Factor de planta de referencia sobre capacidad instalada</t>
  </si>
  <si>
    <t>Degradación anual de paneles</t>
  </si>
  <si>
    <t>%/año</t>
  </si>
  <si>
    <t>Aplicable de forma prospectiva a partir de FY24</t>
  </si>
  <si>
    <t>Tarifa PPA (FY24)</t>
  </si>
  <si>
    <t>US$/kWh</t>
  </si>
  <si>
    <t>Tarifa vigente bajo el contrato de compraventa de energía</t>
  </si>
  <si>
    <t>Crecimiento anual de tarifa (indexación)</t>
  </si>
  <si>
    <t>Indexación contractual anual de la tarifa PPA</t>
  </si>
  <si>
    <t>Opex anual (FY24)</t>
  </si>
  <si>
    <t>US$/año</t>
  </si>
  <si>
    <t>Costos de operación y mantenimiento + gastos generales y administrativos</t>
  </si>
  <si>
    <t>Ingresos FY24</t>
  </si>
  <si>
    <t>US$</t>
  </si>
  <si>
    <t>Venta de energía + otros ingresos operativos</t>
  </si>
  <si>
    <t>EBITDA FY24</t>
  </si>
  <si>
    <t>Ingresos FY24 menos costos y gastos operativos</t>
  </si>
  <si>
    <t>Deuda actual</t>
  </si>
  <si>
    <t>Saldo total de deuda financiera senior al 31-dic-2024</t>
  </si>
  <si>
    <t>Generación FY24</t>
  </si>
  <si>
    <t>MWh</t>
  </si>
  <si>
    <t>Generación neta facturada bajo el contrato PPA</t>
  </si>
  <si>
    <t>Margen EBITDA (FY24, calculado)</t>
  </si>
  <si>
    <t>Calculado a partir de EBITDA_FY24 / INGRESOS_FY24</t>
  </si>
  <si>
    <t>Andina Solar, S. A. — Generación mensual FY24</t>
  </si>
  <si>
    <t>Generación neta facturada bajo el contrato PPA, en MWh. Documento sintético para fines de demostración.</t>
  </si>
  <si>
    <t>Mes</t>
  </si>
  <si>
    <t>Generación (MWh)</t>
  </si>
  <si>
    <t>% del 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</si>
  <si>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</si>
  <si>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</si>
  <si>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</si>
  <si>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</si>
  <si>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</si>
  <si>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</si>
  <si>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</si>
  <si>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</si>
  <si>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</si>
  <si>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</si>
  <si>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</si>
  <si>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</si>
  <si>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FY24</t>
  </si>
  <si>
    <t>Verificación vs. GENERACION_FY24</t>
  </si>
  <si>
    <t>Andina Solar, S. A. — Deuda</t>
  </si>
  <si>
    <t>Deuda actual, uso de fondos y tabla de amortización propuesta. Documento sintético para fines de demostración.</t>
  </si>
  <si>
    <t>Deuda actual (a refinanciar)</t>
  </si>
  <si>
    <t>Componente</t>
  </si>
  <si>
    <t>Monto (US$)</t>
  </si>
  <si>
    <t>Deuda total al 31-dic-2024</t>
  </si>
  <si>
    <t>Porción corriente</t>
  </si>
  <si>
    <t>Porción no corriente</t>
  </si>
  <si>
    <t>Verificación: corriente + no corriente</t>
  </si>
  <si>
    <t>Uso de fondos — préstamo senior propuesto</t>
  </si>
  <si>
    <t>Refinanciamiento de deuda existente</t>
  </si>
  <si>
    <t>Capex — mejoras de eficiencia de planta</t>
  </si>
  <si>
    <t>Costos de cierre y estructuración</t>
  </si>
  <si>
    <t>Total préstamo propuesto</t>
  </si>
  <si>
    <t>Tabla de amortización propuesta — US$18,000,000 a 12 años, 7.25% anual</t>
  </si>
  <si>
    <t>Tasa de interés anual</t>
  </si>
  <si>
    <t>Plazo (años)</t>
  </si>
  <si>
    <t>Principal (US$)</t>
  </si>
  <si>
    <t>Cuota anual nivelada (US$)</t>
  </si>
  <si>
    <t>Año</t>
  </si>
  <si>
    <t>Saldo inicial</t>
  </si>
  <si>
    <t>Pago</t>
  </si>
  <si>
    <t>Interés</t>
  </si>
  <si>
    <t>Principal</t>
  </si>
  <si>
    <t>Saldo final</t>
  </si>
  <si>
    <t>Verificación: saldo final del año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</si>
</sst>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1C3D5A"/>
      <sz val="14"/>
      <name val="Calibri"/>
    </font>
    <font>
      <i/>
      <color rgb="FF5B5B5B"/>
      <sz val="10"/>
      <name val="Calibri"/>
    </font>
    <font>
      <b/>
      <color rgb="FFFFFFFF"/>
      <sz val="10"/>
      <name val="Calibri"/>
    </font>
    <font>
      <b/>
    </font>
    <font>
      <i/>
      <color rgb="FF5B5B5B"/>
      <sz val="9"/>
    </font>
    <font>
      <b/>
      <color rgb="FF1C3D5A"/>
      <sz val="11"/>
    </font>
  </fonts>
  <fills count="3">
    <fill>
      <patternFill patternType="none"/>
    </fill>
    <fill>
      <patternFill patternType="gray125"/>
    </fill>
    <fill>
      <patternFill patternType="solid">
        <fgColor rgb="FF1C3D5A"/>
      </patternFill>
    </fill>
  </fills>
  <borders count="3">
    <border>
      <left/>
      <right/>
      <top/>
      <bottom/>
      <diagonal/>
    </border>
    <border>
      <left/>
      <right/>
      <top/>
      <bottom style="thin">
        <color rgb="FFD4D8DC"/>
      </bottom>
      <diagonal/>
    </border>
    <border>
      <left/>
      <right/>
      <top style="thin">
        <color rgb="FF5B5B5B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0" fillId="0" borderId="0" xfId="0" applyAlignment="1"/>
    <xf numFmtId="0" fontId="4" fillId="0" borderId="0" xfId="0" applyFont="1" applyAlignment="1">
      <alignment horizontal="right"/>
    </xf>
    <xf numFmtId="0" fontId="5" fillId="0" borderId="0" xfId="0" applyFo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4" fillId="0" borderId="2" xfId="0" applyFont="1" applyBorder="1"/>
    <xf numFmtId="3" fontId="4" fillId="0" borderId="2" xfId="0" applyNumberFormat="1" applyFont="1" applyBorder="1"/>
    <xf numFmtId="164" fontId="4" fillId="0" borderId="2" xfId="0" applyNumberFormat="1" applyFont="1" applyBorder="1"/>
    <xf numFmtId="0" fontId="6" fillId="0" borderId="0" xfId="0" applyFon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8" style="1" customWidth="1"/>
    <col min="3" max="3" width="14" customWidth="1"/>
    <col min="4" max="4" width="46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4" t="s">
        <v>2</v>
      </c>
      <c r="B3" s="5" t="s">
        <v>3</v>
      </c>
      <c r="C3" s="4" t="s">
        <v>4</v>
      </c>
      <c r="D3" s="4" t="s">
        <v>5</v>
      </c>
    </row>
    <row r="4" spans="1:4" x14ac:dyDescent="0.25">
      <c r="A4" s="6" t="s">
        <v>6</v>
      </c>
      <c r="B4" s="7">
        <v>42</v>
      </c>
      <c r="C4" t="s">
        <v>7</v>
      </c>
      <c r="D4" s="8" t="s">
        <v>8</v>
      </c>
    </row>
    <row r="5" spans="1:4" x14ac:dyDescent="0.25">
      <c r="A5" s="6" t="s">
        <v>9</v>
      </c>
      <c r="B5" s="9">
        <v>0.166</v>
      </c>
      <c r="C5" t="s">
        <v>10</v>
      </c>
      <c r="D5" s="8" t="s">
        <v>11</v>
      </c>
    </row>
    <row r="6" spans="1:4" x14ac:dyDescent="0.25">
      <c r="A6" s="6" t="s">
        <v>12</v>
      </c>
      <c r="B6" s="9">
        <v>0.005</v>
      </c>
      <c r="C6" t="s">
        <v>13</v>
      </c>
      <c r="D6" s="8" t="s">
        <v>14</v>
      </c>
    </row>
    <row r="7" spans="1:4" x14ac:dyDescent="0.25">
      <c r="A7" s="6" t="s">
        <v>15</v>
      </c>
      <c r="B7" s="10">
        <v>0.1607</v>
      </c>
      <c r="C7" t="s">
        <v>16</v>
      </c>
      <c r="D7" s="8" t="s">
        <v>17</v>
      </c>
    </row>
    <row r="8" spans="1:4" x14ac:dyDescent="0.25">
      <c r="A8" s="6" t="s">
        <v>18</v>
      </c>
      <c r="B8" s="9">
        <v>0.02</v>
      </c>
      <c r="C8" t="s">
        <v>13</v>
      </c>
      <c r="D8" s="8" t="s">
        <v>19</v>
      </c>
    </row>
    <row r="9" spans="1:4" x14ac:dyDescent="0.25">
      <c r="A9" s="6" t="s">
        <v>20</v>
      </c>
      <c r="B9" s="11">
        <v>1900000</v>
      </c>
      <c r="C9" t="s">
        <v>21</v>
      </c>
      <c r="D9" s="8" t="s">
        <v>22</v>
      </c>
    </row>
    <row r="10" spans="1:4" x14ac:dyDescent="0.25">
      <c r="A10" s="6" t="s">
        <v>23</v>
      </c>
      <c r="B10" s="11">
        <v>9840000</v>
      </c>
      <c r="C10" t="s">
        <v>24</v>
      </c>
      <c r="D10" s="8" t="s">
        <v>25</v>
      </c>
    </row>
    <row r="11" spans="1:4" x14ac:dyDescent="0.25">
      <c r="A11" s="6" t="s">
        <v>26</v>
      </c>
      <c r="B11" s="11">
        <v>7120000</v>
      </c>
      <c r="C11" t="s">
        <v>24</v>
      </c>
      <c r="D11" s="8" t="s">
        <v>27</v>
      </c>
    </row>
    <row r="12" spans="1:4" x14ac:dyDescent="0.25">
      <c r="A12" s="6" t="s">
        <v>28</v>
      </c>
      <c r="B12" s="11">
        <v>11500000</v>
      </c>
      <c r="C12" t="s">
        <v>24</v>
      </c>
      <c r="D12" s="8" t="s">
        <v>29</v>
      </c>
    </row>
    <row r="13" spans="1:4" x14ac:dyDescent="0.25">
      <c r="A13" s="6" t="s">
        <v>30</v>
      </c>
      <c r="B13" s="11">
        <v>61200</v>
      </c>
      <c r="C13" t="s">
        <v>31</v>
      </c>
      <c r="D13" s="8" t="s">
        <v>32</v>
      </c>
    </row>
    <row r="14" spans="1:4" x14ac:dyDescent="0.25">
      <c r="A14" t="s">
        <v>33</v>
      </c>
      <c r="B14" s="9">
        <f>Supuestos!$B$11/Supuestos!$B$10</f>
      </c>
      <c r="C14" t="s">
        <v>10</v>
      </c>
      <c r="D14" t="s">
        <v>34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3" width="16" customWidth="1"/>
  </cols>
  <sheetData>
    <row r="1" spans="1:3" x14ac:dyDescent="0.25">
      <c r="A1" s="2" t="s">
        <v>35</v>
      </c>
      <c r="B1" s="2"/>
      <c r="C1" s="2"/>
    </row>
    <row r="2" spans="1:3" x14ac:dyDescent="0.25">
      <c r="A2" s="3" t="s">
        <v>36</v>
      </c>
      <c r="B2" s="3"/>
      <c r="C2" s="3"/>
    </row>
    <row r="3" spans="1:3" x14ac:dyDescent="0.25">
      <c r="A3" s="4" t="s">
        <v>37</v>
      </c>
      <c r="B3" s="4" t="s">
        <v>38</v>
      </c>
      <c r="C3" s="4" t="s">
        <v>39</v>
      </c>
    </row>
    <row r="4" spans="1:3" x14ac:dyDescent="0.25">
      <c r="A4" t="s">
        <v>40</v>
      </c>
      <c r="B4" s="12">
        <v>5875</v>
      </c>
      <c r="C4" s="13">
        <f>B4/$B$16</f>
      </c>
    </row>
    <row r="5" spans="1:3" x14ac:dyDescent="0.25">
      <c r="A5" t="s">
        <v>41</v>
      </c>
      <c r="B5" s="12">
        <v>5569</v>
      </c>
      <c r="C5" s="13">
        <f>B5/$B$16</f>
      </c>
    </row>
    <row r="6" spans="1:3" x14ac:dyDescent="0.25">
      <c r="A6" t="s">
        <v>42</v>
      </c>
      <c r="B6" s="12">
        <v>5936</v>
      </c>
      <c r="C6" s="13">
        <f>B6/$B$16</f>
      </c>
    </row>
    <row r="7" spans="1:3" x14ac:dyDescent="0.25">
      <c r="A7" t="s">
        <v>43</v>
      </c>
      <c r="B7" s="12">
        <v>5447</v>
      </c>
      <c r="C7" s="13">
        <f>B7/$B$16</f>
      </c>
    </row>
    <row r="8" spans="1:3" x14ac:dyDescent="0.25">
      <c r="A8" t="s">
        <v>44</v>
      </c>
      <c r="B8" s="12">
        <v>4712</v>
      </c>
      <c r="C8" s="13">
        <f>B8/$B$16</f>
      </c>
    </row>
    <row r="9" spans="1:3" x14ac:dyDescent="0.25">
      <c r="A9" t="s">
        <v>45</v>
      </c>
      <c r="B9" s="12">
        <v>4406</v>
      </c>
      <c r="C9" s="13">
        <f>B9/$B$16</f>
      </c>
    </row>
    <row r="10" spans="1:3" x14ac:dyDescent="0.25">
      <c r="A10" t="s">
        <v>46</v>
      </c>
      <c r="B10" s="12">
        <v>4529</v>
      </c>
      <c r="C10" s="13">
        <f>B10/$B$16</f>
      </c>
    </row>
    <row r="11" spans="1:3" x14ac:dyDescent="0.25">
      <c r="A11" t="s">
        <v>47</v>
      </c>
      <c r="B11" s="12">
        <v>4651</v>
      </c>
      <c r="C11" s="13">
        <f>B11/$B$16</f>
      </c>
    </row>
    <row r="12" spans="1:3" x14ac:dyDescent="0.25">
      <c r="A12" t="s">
        <v>48</v>
      </c>
      <c r="B12" s="12">
        <v>4529</v>
      </c>
      <c r="C12" s="13">
        <f>B12/$B$16</f>
      </c>
    </row>
    <row r="13" spans="1:3" x14ac:dyDescent="0.25">
      <c r="A13" t="s">
        <v>49</v>
      </c>
      <c r="B13" s="12">
        <v>4651</v>
      </c>
      <c r="C13" s="13">
        <f>B13/$B$16</f>
      </c>
    </row>
    <row r="14" spans="1:3" x14ac:dyDescent="0.25">
      <c r="A14" t="s">
        <v>50</v>
      </c>
      <c r="B14" s="12">
        <v>4835</v>
      </c>
      <c r="C14" s="13">
        <f>B14/$B$16</f>
      </c>
    </row>
    <row r="15" spans="1:3" x14ac:dyDescent="0.25">
      <c r="A15" t="s">
        <v>51</v>
      </c>
      <c r="B15" s="12">
        <v>6060</v>
      </c>
      <c r="C15" s="13">
        <f>B15/$B$16</f>
      </c>
    </row>
    <row r="16" spans="1:3" x14ac:dyDescent="0.25">
      <c r="A16" s="14" t="s">
        <v>52</v>
      </c>
      <c r="B16" s="15">
        <f>SUM(B4:B15)</f>
      </c>
      <c r="C16" s="16">
        <f>SUM(C4:C15)</f>
      </c>
    </row>
    <row r="17" spans="1:2" x14ac:dyDescent="0.25">
      <c r="A17" s="8" t="s">
        <v>53</v>
      </c>
      <c r="B17" s="12">
        <f>B16-Supuestos!$B$13</f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6" customWidth="1"/>
  </cols>
  <sheetData>
    <row r="1" spans="1:6" x14ac:dyDescent="0.25">
      <c r="A1" s="2" t="s">
        <v>54</v>
      </c>
      <c r="B1" s="2"/>
      <c r="C1" s="2"/>
      <c r="D1" s="2"/>
      <c r="E1" s="2"/>
      <c r="F1" s="2"/>
    </row>
    <row r="2" spans="1:6" x14ac:dyDescent="0.25">
      <c r="A2" s="3" t="s">
        <v>55</v>
      </c>
      <c r="B2" s="3"/>
      <c r="C2" s="3"/>
      <c r="D2" s="3"/>
      <c r="E2" s="3"/>
      <c r="F2" s="3"/>
    </row>
    <row r="3" spans="1:1" x14ac:dyDescent="0.25">
      <c r="A3" s="17" t="s">
        <v>56</v>
      </c>
    </row>
    <row r="4" spans="1:2" x14ac:dyDescent="0.25">
      <c r="A4" s="4" t="s">
        <v>57</v>
      </c>
      <c r="B4" s="4" t="s">
        <v>58</v>
      </c>
    </row>
    <row r="5" spans="1:2" x14ac:dyDescent="0.25">
      <c r="A5" t="s">
        <v>59</v>
      </c>
      <c r="B5" s="12">
        <v>11500000</v>
      </c>
    </row>
    <row r="6" spans="1:2" x14ac:dyDescent="0.25">
      <c r="A6" t="s">
        <v>60</v>
      </c>
      <c r="B6" s="12">
        <v>2100000</v>
      </c>
    </row>
    <row r="7" spans="1:2" x14ac:dyDescent="0.25">
      <c r="A7" t="s">
        <v>61</v>
      </c>
      <c r="B7" s="12">
        <v>9400000</v>
      </c>
    </row>
    <row r="8" spans="1:2" x14ac:dyDescent="0.25">
      <c r="A8" s="8" t="s">
        <v>62</v>
      </c>
      <c r="B8" s="12">
        <f>B6+B7-B5</f>
      </c>
    </row>
    <row r="10" spans="1:1" x14ac:dyDescent="0.25">
      <c r="A10" s="17" t="s">
        <v>63</v>
      </c>
    </row>
    <row r="11" spans="1:3" x14ac:dyDescent="0.25">
      <c r="A11" s="4" t="s">
        <v>57</v>
      </c>
      <c r="B11" s="4" t="s">
        <v>58</v>
      </c>
      <c r="C11" s="4" t="s">
        <v>39</v>
      </c>
    </row>
    <row r="12" spans="1:3" x14ac:dyDescent="0.25">
      <c r="A12" t="s">
        <v>64</v>
      </c>
      <c r="B12" s="12">
        <v>11500000</v>
      </c>
      <c r="C12" s="13">
        <f>B12/B$15</f>
      </c>
    </row>
    <row r="13" spans="1:3" x14ac:dyDescent="0.25">
      <c r="A13" t="s">
        <v>65</v>
      </c>
      <c r="B13" s="12">
        <v>5000000</v>
      </c>
      <c r="C13" s="13">
        <f>B13/B$15</f>
      </c>
    </row>
    <row r="14" spans="1:3" x14ac:dyDescent="0.25">
      <c r="A14" t="s">
        <v>66</v>
      </c>
      <c r="B14" s="12">
        <v>1500000</v>
      </c>
      <c r="C14" s="13">
        <f>B14/B$15</f>
      </c>
    </row>
    <row r="15" spans="1:3" x14ac:dyDescent="0.25">
      <c r="A15" s="14" t="s">
        <v>67</v>
      </c>
      <c r="B15" s="15">
        <f>SUM(B12:B14)</f>
      </c>
      <c r="C15" s="16">
        <f>B15/B$15</f>
      </c>
    </row>
    <row r="17" spans="1:1" x14ac:dyDescent="0.25">
      <c r="A17" s="17" t="s">
        <v>68</v>
      </c>
    </row>
    <row r="18" spans="1:2" x14ac:dyDescent="0.25">
      <c r="A18" t="s">
        <v>69</v>
      </c>
      <c r="B18" s="18">
        <v>0.0725</v>
      </c>
    </row>
    <row r="19" spans="1:2" x14ac:dyDescent="0.25">
      <c r="A19" t="s">
        <v>70</v>
      </c>
      <c r="B19">
        <v>12</v>
      </c>
    </row>
    <row r="20" spans="1:2" x14ac:dyDescent="0.25">
      <c r="A20" t="s">
        <v>71</v>
      </c>
      <c r="B20" s="12">
        <f>B15</f>
      </c>
    </row>
    <row r="21" spans="1:2" x14ac:dyDescent="0.25">
      <c r="A21" t="s">
        <v>72</v>
      </c>
      <c r="B21" s="19">
        <f>ROUND(B20*B18/(1-(1+B18)^-B19),2)</f>
      </c>
    </row>
    <row r="23" spans="1:6" x14ac:dyDescent="0.25">
      <c r="A23" s="4" t="s">
        <v>73</v>
      </c>
      <c r="B23" s="4" t="s">
        <v>74</v>
      </c>
      <c r="C23" s="4" t="s">
        <v>75</v>
      </c>
      <c r="D23" s="4" t="s">
        <v>76</v>
      </c>
      <c r="E23" s="4" t="s">
        <v>77</v>
      </c>
      <c r="F23" s="4" t="s">
        <v>78</v>
      </c>
    </row>
    <row r="24" spans="1:6" x14ac:dyDescent="0.25">
      <c r="A24">
        <v>1</v>
      </c>
      <c r="B24" s="19">
        <f>$B$20</f>
      </c>
      <c r="C24" s="19">
        <f>$B$21</f>
      </c>
      <c r="D24" s="19">
        <f>ROUND(B24*$B$18,2)</f>
      </c>
      <c r="E24" s="19">
        <f>C24-D24</f>
      </c>
      <c r="F24" s="19">
        <f>ROUND(B24-E24,2)</f>
      </c>
    </row>
    <row r="25" spans="1:6" x14ac:dyDescent="0.25">
      <c r="A25">
        <v>2</v>
      </c>
      <c r="B25" s="19">
        <f>F24</f>
      </c>
      <c r="C25" s="19">
        <f>$B$21</f>
      </c>
      <c r="D25" s="19">
        <f>ROUND(B25*$B$18,2)</f>
      </c>
      <c r="E25" s="19">
        <f>C25-D25</f>
      </c>
      <c r="F25" s="19">
        <f>ROUND(B25-E25,2)</f>
      </c>
    </row>
    <row r="26" spans="1:6" x14ac:dyDescent="0.25">
      <c r="A26">
        <v>3</v>
      </c>
      <c r="B26" s="19">
        <f>F25</f>
      </c>
      <c r="C26" s="19">
        <f>$B$21</f>
      </c>
      <c r="D26" s="19">
        <f>ROUND(B26*$B$18,2)</f>
      </c>
      <c r="E26" s="19">
        <f>C26-D26</f>
      </c>
      <c r="F26" s="19">
        <f>ROUND(B26-E26,2)</f>
      </c>
    </row>
    <row r="27" spans="1:6" x14ac:dyDescent="0.25">
      <c r="A27">
        <v>4</v>
      </c>
      <c r="B27" s="19">
        <f>F26</f>
      </c>
      <c r="C27" s="19">
        <f>$B$21</f>
      </c>
      <c r="D27" s="19">
        <f>ROUND(B27*$B$18,2)</f>
      </c>
      <c r="E27" s="19">
        <f>C27-D27</f>
      </c>
      <c r="F27" s="19">
        <f>ROUND(B27-E27,2)</f>
      </c>
    </row>
    <row r="28" spans="1:6" x14ac:dyDescent="0.25">
      <c r="A28">
        <v>5</v>
      </c>
      <c r="B28" s="19">
        <f>F27</f>
      </c>
      <c r="C28" s="19">
        <f>$B$21</f>
      </c>
      <c r="D28" s="19">
        <f>ROUND(B28*$B$18,2)</f>
      </c>
      <c r="E28" s="19">
        <f>C28-D28</f>
      </c>
      <c r="F28" s="19">
        <f>ROUND(B28-E28,2)</f>
      </c>
    </row>
    <row r="29" spans="1:6" x14ac:dyDescent="0.25">
      <c r="A29">
        <v>6</v>
      </c>
      <c r="B29" s="19">
        <f>F28</f>
      </c>
      <c r="C29" s="19">
        <f>$B$21</f>
      </c>
      <c r="D29" s="19">
        <f>ROUND(B29*$B$18,2)</f>
      </c>
      <c r="E29" s="19">
        <f>C29-D29</f>
      </c>
      <c r="F29" s="19">
        <f>ROUND(B29-E29,2)</f>
      </c>
    </row>
    <row r="30" spans="1:6" x14ac:dyDescent="0.25">
      <c r="A30">
        <v>7</v>
      </c>
      <c r="B30" s="19">
        <f>F29</f>
      </c>
      <c r="C30" s="19">
        <f>$B$21</f>
      </c>
      <c r="D30" s="19">
        <f>ROUND(B30*$B$18,2)</f>
      </c>
      <c r="E30" s="19">
        <f>C30-D30</f>
      </c>
      <c r="F30" s="19">
        <f>ROUND(B30-E30,2)</f>
      </c>
    </row>
    <row r="31" spans="1:6" x14ac:dyDescent="0.25">
      <c r="A31">
        <v>8</v>
      </c>
      <c r="B31" s="19">
        <f>F30</f>
      </c>
      <c r="C31" s="19">
        <f>$B$21</f>
      </c>
      <c r="D31" s="19">
        <f>ROUND(B31*$B$18,2)</f>
      </c>
      <c r="E31" s="19">
        <f>C31-D31</f>
      </c>
      <c r="F31" s="19">
        <f>ROUND(B31-E31,2)</f>
      </c>
    </row>
    <row r="32" spans="1:6" x14ac:dyDescent="0.25">
      <c r="A32">
        <v>9</v>
      </c>
      <c r="B32" s="19">
        <f>F31</f>
      </c>
      <c r="C32" s="19">
        <f>$B$21</f>
      </c>
      <c r="D32" s="19">
        <f>ROUND(B32*$B$18,2)</f>
      </c>
      <c r="E32" s="19">
        <f>C32-D32</f>
      </c>
      <c r="F32" s="19">
        <f>ROUND(B32-E32,2)</f>
      </c>
    </row>
    <row r="33" spans="1:6" x14ac:dyDescent="0.25">
      <c r="A33">
        <v>10</v>
      </c>
      <c r="B33" s="19">
        <f>F32</f>
      </c>
      <c r="C33" s="19">
        <f>$B$21</f>
      </c>
      <c r="D33" s="19">
        <f>ROUND(B33*$B$18,2)</f>
      </c>
      <c r="E33" s="19">
        <f>C33-D33</f>
      </c>
      <c r="F33" s="19">
        <f>ROUND(B33-E33,2)</f>
      </c>
    </row>
    <row r="34" spans="1:6" x14ac:dyDescent="0.25">
      <c r="A34">
        <v>11</v>
      </c>
      <c r="B34" s="19">
        <f>F33</f>
      </c>
      <c r="C34" s="19">
        <f>$B$21</f>
      </c>
      <c r="D34" s="19">
        <f>ROUND(B34*$B$18,2)</f>
      </c>
      <c r="E34" s="19">
        <f>C34-D34</f>
      </c>
      <c r="F34" s="19">
        <f>ROUND(B34-E34,2)</f>
      </c>
    </row>
    <row r="35" spans="1:6" x14ac:dyDescent="0.25">
      <c r="A35">
        <v>12</v>
      </c>
      <c r="B35" s="19">
        <f>F34</f>
      </c>
      <c r="C35" s="19">
        <f>$B$21</f>
      </c>
      <c r="D35" s="19">
        <f>ROUND(B35*$B$18,2)</f>
      </c>
      <c r="E35" s="19">
        <f>C35-D35</f>
      </c>
      <c r="F35" s="19">
        <f>ROUND(B35-E35,2)</f>
      </c>
    </row>
    <row r="36" spans="1:2" x14ac:dyDescent="0.25">
      <c r="A36" s="8" t="s">
        <v>79</v>
      </c>
      <c r="B36" s="19">
        <f>F35</f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Supuestos</vt:lpstr>
      <vt:lpstr>Generacion</vt:lpstr>
      <vt:lpstr>Deuda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Andina Solar, S. A.</dc:creator>
  <dc:title>Andina Solar, S. A. — Supuestos Operativos (sintético)</dc:title>
  <dc:subject/>
  <dc:description/>
  <cp:keywords/>
  <cp:category/>
  <cp:lastModifiedBy>Unknown</cp:lastModifiedBy>
  <dcterms:created xsi:type="dcterms:W3CDTF">2025-02-28T00:00:00Z</dcterms:created>
  <dcterms:modified xsi:type="dcterms:W3CDTF">2026-08-25T01:03:22Z</dcterms:modified>
</cp:coreProperties>
</file>